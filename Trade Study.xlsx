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2fba312213a41642/Desktop/AI_Camera/"/>
    </mc:Choice>
  </mc:AlternateContent>
  <xr:revisionPtr revIDLastSave="83" documentId="11_3E949136E495AAB0454A074FB40227DF50C2D904" xr6:coauthVersionLast="47" xr6:coauthVersionMax="47" xr10:uidLastSave="{F33AF119-330D-4A66-8108-B711ED10B748}"/>
  <bookViews>
    <workbookView xWindow="-108" yWindow="-108" windowWidth="23256" windowHeight="12456" activeTab="1" xr2:uid="{00000000-000D-0000-FFFF-FFFF00000000}"/>
  </bookViews>
  <sheets>
    <sheet name="New" sheetId="2" r:id="rId1"/>
    <sheet name="Original" sheetId="1" r:id="rId2"/>
  </sheets>
  <definedNames>
    <definedName name="_xlnm._FilterDatabase" localSheetId="0" hidden="1">New!$A$1:$L$8</definedName>
    <definedName name="_xlnm._FilterDatabase" localSheetId="1" hidden="1">Original!$A$1:$V$13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2" l="1"/>
  <c r="J5" i="2"/>
  <c r="J6" i="2"/>
  <c r="J8" i="2"/>
  <c r="J7" i="2"/>
  <c r="T4" i="1"/>
  <c r="T8" i="1"/>
  <c r="T7" i="1"/>
  <c r="T9" i="1"/>
  <c r="T5" i="1"/>
  <c r="T12" i="1"/>
  <c r="T6" i="1"/>
  <c r="T10" i="1"/>
  <c r="T13" i="1"/>
  <c r="T11" i="1"/>
  <c r="U6" i="1"/>
  <c r="U13" i="1"/>
  <c r="K5" i="2" l="1"/>
  <c r="K6" i="2"/>
  <c r="K7" i="2"/>
  <c r="K8" i="2"/>
  <c r="K4" i="2"/>
  <c r="U9" i="1"/>
  <c r="U11" i="1"/>
  <c r="U7" i="1"/>
  <c r="U8" i="1"/>
  <c r="U5" i="1"/>
  <c r="U12" i="1"/>
  <c r="U4" i="1"/>
  <c r="U10" i="1"/>
</calcChain>
</file>

<file path=xl/sharedStrings.xml><?xml version="1.0" encoding="utf-8"?>
<sst xmlns="http://schemas.openxmlformats.org/spreadsheetml/2006/main" count="186" uniqueCount="109">
  <si>
    <t>Device</t>
  </si>
  <si>
    <t>Resolution</t>
  </si>
  <si>
    <t>Size</t>
  </si>
  <si>
    <t>Cost</t>
  </si>
  <si>
    <t>Frame Rate (FPS)</t>
  </si>
  <si>
    <t>Shutter Type</t>
  </si>
  <si>
    <t>Processing Power</t>
  </si>
  <si>
    <t>Wi-Fi / Connectivity</t>
  </si>
  <si>
    <t>AI / ML Capability</t>
  </si>
  <si>
    <t>Field of View (FOV)</t>
  </si>
  <si>
    <t>TOTAL SCORE</t>
  </si>
  <si>
    <t>RANK</t>
  </si>
  <si>
    <t>Raw</t>
  </si>
  <si>
    <t>Weighted</t>
  </si>
  <si>
    <t>/180</t>
  </si>
  <si>
    <t>Seeed Studio XIAO ESP32-S3 Sense</t>
  </si>
  <si>
    <t>2048x1536 (3.1MP, OV3660)</t>
  </si>
  <si>
    <t>21 x 17.5 mm board + camera</t>
  </si>
  <si>
    <t>$13.99 direct / ~$17 Amazon</t>
  </si>
  <si>
    <t>4.2 stars</t>
  </si>
  <si>
    <t>~15 fps @ 2MP; ~25-30 fps @ VGA</t>
  </si>
  <si>
    <t>Rolling</t>
  </si>
  <si>
    <t>Xtensa LX7 dual-core 240 MHz; 8MB PSRAM; 8MB flash</t>
  </si>
  <si>
    <t>Wi-Fi 4 (2.4GHz) + BLE 5.0; U.FL external antenna option</t>
  </si>
  <si>
    <t>ESP-DL / Edge Impulse / SenseCraft; KB-scale models only, low fps</t>
  </si>
  <si>
    <t>~68 deg diagonal (OV3660 stock lens)</t>
  </si>
  <si>
    <t>Waveshare ESP32-S3 Camera</t>
  </si>
  <si>
    <t>2592x1944 (5MP, OV5640)</t>
  </si>
  <si>
    <t>37 × 37 mm 
PCB</t>
  </si>
  <si>
    <t xml:space="preserve">$16.99 - $19.99 </t>
  </si>
  <si>
    <t>2.9/5</t>
  </si>
  <si>
    <t>1080p @30 / 720p @60 / 5MP @15 (OV5640)</t>
  </si>
  <si>
    <t>ESP32-S3R8 Xtensa LX7 dual-core 240 MHz; 8MB PSRAM; 16MB flash</t>
  </si>
  <si>
    <t>Wi-Fi 4 (2.4GHz) + BLE 5; ceramic antenna + IPEX option</t>
  </si>
  <si>
    <t>ESP-DL; ships with an Edge Impulse object-detection demo</t>
  </si>
  <si>
    <t>D 68 deg / H 55 deg / V 42 deg (OV5640)</t>
  </si>
  <si>
    <t>Raspberry Pi 4 + AI Camera</t>
  </si>
  <si>
    <t>4056x3040 (12.3MP, Sony IMX500)</t>
  </si>
  <si>
    <t>Pi 4: 85 x 56 x ~17 mm; camera 25 x 24 x 11.9 mm; + PSU</t>
  </si>
  <si>
    <t>~$153 (Pi 4 4GB $75 + AI Camera $70 + PSU ~$8)</t>
  </si>
  <si>
    <t>4.2/5 stars</t>
  </si>
  <si>
    <t>2028x1520 @30 fps (2x2 binned); 4056x3040 @10 fps</t>
  </si>
  <si>
    <t>BCM2711 quad Cortex-A72 @1.8 GHz, full Linux, 4GB</t>
  </si>
  <si>
    <t>Wi-Fi 5 dual-band + BT 5.0 + Gigabit Ethernet + USB 3.0</t>
  </si>
  <si>
    <t>On-sensor IMX500 NPU: MobileNet-SSD ~30 fps, host CPU stays free</t>
  </si>
  <si>
    <t>78.3 +/- 3 deg diagonal, F1.79, manual focus</t>
  </si>
  <si>
    <t>Raspberry Pi 5 + AI Camera</t>
  </si>
  <si>
    <t>Pi 5: 85 x 56 x ~18 mm; camera 25 x 24 x 11.9 mm; + PSU + cooler</t>
  </si>
  <si>
    <t>~$167 (Pi 5 4GB $85 + AI Camera $70 + 27W PSU ~$12)</t>
  </si>
  <si>
    <t>BCM2712 quad Cortex-A76 @2.4 GHz, PCIe 2.0 x1, 4GB</t>
  </si>
  <si>
    <t>Wi-Fi 5 dual-band + BT 5.0 + Gigabit Ethernet + USB 3.0 + PCIe</t>
  </si>
  <si>
    <t>On-sensor IMX500 NPU + fastest host here; AI HAT+ can be added over PCIe</t>
  </si>
  <si>
    <t>Raspberry Pi 5 + Global Shutter Camera</t>
  </si>
  <si>
    <t>1456x1088 (1.58MP, Sony IMX296)</t>
  </si>
  <si>
    <t>Pi 5 85 x 56 mm; camera 38 x 38 mm + C/CS lens - bulkiest option</t>
  </si>
  <si>
    <t>~$172-200 (Pi 5 4GB $85 + GS cam $50 + C/CS LENS $25-50 + PSU $12)</t>
  </si>
  <si>
    <t>3.8/5</t>
  </si>
  <si>
    <t>60.38 fps @ 1456x1088; 300-500+ fps pic</t>
  </si>
  <si>
    <t>GLOBAL</t>
  </si>
  <si>
    <t>CPU-only: a few fps for YOLO-class models; add AI HAT+ for real speed</t>
  </si>
  <si>
    <t xml:space="preserve">depends on lens </t>
  </si>
  <si>
    <t>ESP32-P4-EYE</t>
  </si>
  <si>
    <t>1920x1080 (2MP, OmniVision OV2710)</t>
  </si>
  <si>
    <t>Mini compact-camera form factor + 1.54in LCD</t>
  </si>
  <si>
    <t>1080p @30 fps</t>
  </si>
  <si>
    <t>ESP32-P4 dual-core RISC-V @400 MHz, up to 32MB PSRAM, HW H.264, MIPI-CSI</t>
  </si>
  <si>
    <t>Wi-Fi 6 (2.4GHz) + BLE 5 + Thread/Zigbee via ESP32-C6; USB 2.0 HS</t>
  </si>
  <si>
    <t>No NPU. RISC-V AI extensions + ESP-DL. Demo runs YOLOv11-nano.</t>
  </si>
  <si>
    <t>107° view angle</t>
  </si>
  <si>
    <t>Raspberry Pi 4 + Camera Module 3</t>
  </si>
  <si>
    <t>4608x2592 (11.9MP, Sony IMX708), PDAF+CDAF autofocus, HDR</t>
  </si>
  <si>
    <t>Pi 4: 85 x 56 x ~17 mm; camera 25 x 24 x ~12.4 mm; + PSU</t>
  </si>
  <si>
    <t>~$108 (Pi 4 4GB $75 + Camera Module 3 $25 + PSU ~$8); Wide variant $35</t>
  </si>
  <si>
    <t>4.6/5 star</t>
  </si>
  <si>
    <t>1080p @50 fps; higher fps at lower res; full-res pics~10 fps</t>
  </si>
  <si>
    <t>CPU-only on Pi 4 - small models at a few fps; no accelerator</t>
  </si>
  <si>
    <t>75 deg diagonal (66 deg H); Wide variant 120 deg diagonal for $35</t>
  </si>
  <si>
    <t>OpenMV N6</t>
  </si>
  <si>
    <t>1280x800 (1MP, PixArt PAG7936 colour global shutter),</t>
  </si>
  <si>
    <t>45 x 35 x 30 mm, 21 g</t>
  </si>
  <si>
    <t>$180.00 (openmv.io direct)</t>
  </si>
  <si>
    <t>120 fps @1280x800; 240 fps @640x400; 470 fps @320x200</t>
  </si>
  <si>
    <t>STM32N657 Cortex-M55 @800 MHz + ISP + 2D GPU + HW H.264/JPEG; 64MB SDRAM</t>
  </si>
  <si>
    <t>Wi-Fi a/b/g/n + BT 5.1 + Gigabit Ethernet (PoE via shield) + USB-C HS</t>
  </si>
  <si>
    <t>1 GHz Neural-ART NPU, 600 GOPS INT8: YOLOv8/v11 at 30 fps under 0.75 W</t>
  </si>
  <si>
    <t>D 78.0 / H 68.8 / V 46.4 deg stock; M12 mount, interchangeable</t>
  </si>
  <si>
    <t>Arduino Nicla Vision</t>
  </si>
  <si>
    <t>1616x1232 (2MP, GC2145)</t>
  </si>
  <si>
    <t>22.86 x 22.86 x 7.26 mm, 20 g</t>
  </si>
  <si>
    <t>$115.00 (Arduino store)</t>
  </si>
  <si>
    <t>3.9/5</t>
  </si>
  <si>
    <t>~30 fps @ VGA</t>
  </si>
  <si>
    <t>STM32H747: M7 @480 MHz + M4 @240 MHz; 2MB flash / 1MB RAM + 16MB QSPI</t>
  </si>
  <si>
    <t>Wi-Fi 4 (2.4GHz) + BLE 4.2 (Murata 1DX); USB High-Speed</t>
  </si>
  <si>
    <t>TinyML on the M7 via OpenMV / Edge Impulse. No NPU; 1MB RAM caps models.</t>
  </si>
  <si>
    <t>D 77.0 / H 64.9 / V 51.0 deg</t>
  </si>
  <si>
    <t>Espressif ESP32-S3-EYE</t>
  </si>
  <si>
    <t>1600x1200 (2MP, OV2640)</t>
  </si>
  <si>
    <t>Two-board stack (main + 1.3in 240x240 LCD sub-board); dims not published</t>
  </si>
  <si>
    <t>$47.50 list</t>
  </si>
  <si>
    <t>3.7/5</t>
  </si>
  <si>
    <t>~25-30 fps @ VGA</t>
  </si>
  <si>
    <t>ESP32-S3 Xtensa LX7 dual-core 240 MHz, 8MB octal PSRAM, 8MB flash</t>
  </si>
  <si>
    <t>Wi-Fi 4 (2.4GHz) + BLE 5</t>
  </si>
  <si>
    <t>ESP-WHO out of the box: offline face detect/recognise + wake-word</t>
  </si>
  <si>
    <t>66.5° FOV</t>
  </si>
  <si>
    <t xml:space="preserve">Amazon </t>
  </si>
  <si>
    <t>4.2/5</t>
  </si>
  <si>
    <t xml:space="preserve">4.2/5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</si>
</sst>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10" x14ac:knownFonts="1">
    <font>
      <sz val="10"/>
      <color rgb="FF000000"/>
      <name val="Arial"/>
      <scheme val="minor"/>
    </font>
    <font>
      <b/>
      <sz val="11"/>
      <color rgb="FFFFFFFF"/>
      <name val="Arial"/>
    </font>
    <font>
      <sz val="10"/>
      <name val="Arial"/>
    </font>
    <font>
      <sz val="11"/>
      <color theme="1"/>
      <name val="Calibri"/>
    </font>
    <font>
      <b/>
      <sz val="10"/>
      <color theme="1"/>
      <name val="Arial"/>
    </font>
    <font>
      <b/>
      <sz val="10"/>
      <color rgb="FF0000FF"/>
      <name val="Arial"/>
    </font>
    <font>
      <sz val="9"/>
      <color theme="1"/>
      <name val="Arial"/>
    </font>
    <font>
      <sz val="10"/>
      <color theme="1"/>
      <name val="Arial"/>
      <scheme val="minor"/>
    </font>
    <font>
      <sz val="10"/>
      <color theme="1"/>
      <name val="Arial"/>
    </font>
    <font>
      <b/>
      <sz val="11"/>
      <color theme="1"/>
      <name val="Arial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D9E1F2"/>
        <bgColor rgb="FFD9E1F2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E2EFDA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4" fillId="3" borderId="5" xfId="0" applyFont="1" applyFill="1" applyBorder="1" applyAlignment="1">
      <alignment horizontal="center"/>
    </xf>
    <xf numFmtId="0" fontId="3" fillId="0" borderId="0" xfId="0" applyFont="1"/>
    <xf numFmtId="0" fontId="3" fillId="4" borderId="5" xfId="0" applyFont="1" applyFill="1" applyBorder="1"/>
    <xf numFmtId="0" fontId="5" fillId="5" borderId="6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4" fillId="0" borderId="6" xfId="0" applyFont="1" applyBorder="1" applyAlignment="1">
      <alignment vertical="top" wrapText="1"/>
    </xf>
    <xf numFmtId="0" fontId="6" fillId="0" borderId="6" xfId="0" applyFont="1" applyBorder="1" applyAlignment="1">
      <alignment vertical="top" wrapText="1"/>
    </xf>
    <xf numFmtId="2" fontId="8" fillId="0" borderId="6" xfId="0" applyNumberFormat="1" applyFont="1" applyBorder="1" applyAlignment="1">
      <alignment horizontal="center"/>
    </xf>
    <xf numFmtId="2" fontId="9" fillId="6" borderId="6" xfId="0" applyNumberFormat="1" applyFont="1" applyFill="1" applyBorder="1" applyAlignment="1">
      <alignment horizontal="center"/>
    </xf>
    <xf numFmtId="0" fontId="9" fillId="6" borderId="6" xfId="0" applyFont="1" applyFill="1" applyBorder="1" applyAlignment="1">
      <alignment horizontal="center"/>
    </xf>
    <xf numFmtId="0" fontId="7" fillId="0" borderId="0" xfId="0" applyFont="1"/>
    <xf numFmtId="0" fontId="6" fillId="0" borderId="0" xfId="0" applyFont="1"/>
    <xf numFmtId="164" fontId="6" fillId="0" borderId="6" xfId="0" applyNumberFormat="1" applyFont="1" applyBorder="1" applyAlignment="1">
      <alignment vertical="top" wrapText="1"/>
    </xf>
    <xf numFmtId="0" fontId="3" fillId="0" borderId="6" xfId="0" applyFont="1" applyBorder="1" applyAlignment="1">
      <alignment vertical="top"/>
    </xf>
    <xf numFmtId="0" fontId="1" fillId="2" borderId="2" xfId="0" applyFont="1" applyFill="1" applyBorder="1" applyAlignment="1">
      <alignment horizontal="center"/>
    </xf>
    <xf numFmtId="0" fontId="2" fillId="0" borderId="3" xfId="0" applyFont="1" applyBorder="1"/>
    <xf numFmtId="0" fontId="1" fillId="2" borderId="1" xfId="0" applyFont="1" applyFill="1" applyBorder="1" applyAlignment="1">
      <alignment horizontal="center" wrapText="1"/>
    </xf>
    <xf numFmtId="0" fontId="2" fillId="0" borderId="4" xfId="0" applyFont="1" applyBorder="1"/>
    <xf numFmtId="0" fontId="1" fillId="2" borderId="1" xfId="0" applyFont="1" applyFill="1" applyBorder="1"/>
    <xf numFmtId="0" fontId="1" fillId="2" borderId="2" xfId="0" applyFont="1" applyFill="1" applyBorder="1" applyAlignment="1"/>
    <xf numFmtId="2" fontId="8" fillId="0" borderId="0" xfId="0" applyNumberFormat="1" applyFont="1" applyBorder="1" applyAlignment="1">
      <alignment horizontal="center"/>
    </xf>
    <xf numFmtId="2" fontId="7" fillId="0" borderId="6" xfId="0" applyNumberFormat="1" applyFont="1" applyBorder="1"/>
    <xf numFmtId="0" fontId="6" fillId="0" borderId="0" xfId="0" applyFont="1" applyBorder="1" applyAlignment="1">
      <alignment vertical="top" wrapText="1"/>
    </xf>
    <xf numFmtId="0" fontId="7" fillId="0" borderId="6" xfId="0" applyFont="1" applyBorder="1"/>
    <xf numFmtId="0" fontId="3" fillId="0" borderId="0" xfId="0" applyFont="1" applyBorder="1" applyAlignment="1">
      <alignment vertical="top"/>
    </xf>
    <xf numFmtId="0" fontId="6" fillId="0" borderId="6" xfId="0" applyFont="1" applyBorder="1"/>
    <xf numFmtId="0" fontId="1" fillId="2" borderId="2" xfId="0" applyFont="1" applyFill="1" applyBorder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6" fillId="7" borderId="6" xfId="0" applyFont="1" applyFill="1" applyBorder="1" applyAlignment="1">
      <alignment horizontal="center" vertical="center"/>
    </xf>
    <xf numFmtId="0" fontId="6" fillId="7" borderId="0" xfId="0" applyFont="1" applyFill="1" applyBorder="1" applyAlignment="1">
      <alignment horizontal="center" vertical="center" wrapText="1"/>
    </xf>
    <xf numFmtId="0" fontId="3" fillId="7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ABEA0-6F4E-41F6-A333-596FD12B9153}">
  <sheetPr>
    <outlinePr summaryBelow="0" summaryRight="0"/>
  </sheetPr>
  <dimension ref="A1:X9"/>
  <sheetViews>
    <sheetView workbookViewId="0">
      <selection activeCell="M6" sqref="M6"/>
    </sheetView>
  </sheetViews>
  <sheetFormatPr defaultColWidth="12.6640625" defaultRowHeight="15.75" customHeight="1" x14ac:dyDescent="0.25"/>
  <sheetData>
    <row r="1" spans="1:24" ht="15.75" customHeight="1" x14ac:dyDescent="0.25">
      <c r="A1" s="19" t="s">
        <v>0</v>
      </c>
      <c r="B1" s="15" t="s">
        <v>1</v>
      </c>
      <c r="C1" s="16"/>
      <c r="D1" s="15" t="s">
        <v>3</v>
      </c>
      <c r="E1" s="16"/>
      <c r="F1" s="15" t="s">
        <v>8</v>
      </c>
      <c r="G1" s="15"/>
      <c r="H1" s="15" t="s">
        <v>9</v>
      </c>
      <c r="I1" s="15"/>
      <c r="J1" s="17" t="s">
        <v>10</v>
      </c>
      <c r="K1" s="17" t="s">
        <v>11</v>
      </c>
      <c r="L1" s="27" t="s">
        <v>106</v>
      </c>
    </row>
    <row r="2" spans="1:24" ht="15.75" customHeight="1" x14ac:dyDescent="0.25">
      <c r="A2" s="18"/>
      <c r="B2" s="1" t="s">
        <v>12</v>
      </c>
      <c r="C2" s="1" t="s">
        <v>13</v>
      </c>
      <c r="D2" s="1" t="s">
        <v>12</v>
      </c>
      <c r="E2" s="1" t="s">
        <v>13</v>
      </c>
      <c r="F2" s="1" t="s">
        <v>12</v>
      </c>
      <c r="G2" s="1" t="s">
        <v>13</v>
      </c>
      <c r="H2" s="1" t="s">
        <v>12</v>
      </c>
      <c r="I2" s="1" t="s">
        <v>13</v>
      </c>
      <c r="J2" s="17"/>
      <c r="K2" s="18"/>
      <c r="L2" s="27"/>
    </row>
    <row r="3" spans="1:24" ht="14.4" x14ac:dyDescent="0.3">
      <c r="A3" s="2"/>
      <c r="B3" s="3"/>
      <c r="C3" s="4">
        <v>2</v>
      </c>
      <c r="D3" s="3"/>
      <c r="E3" s="4">
        <v>2</v>
      </c>
      <c r="F3" s="3"/>
      <c r="G3" s="4">
        <v>2</v>
      </c>
      <c r="H3" s="3"/>
      <c r="I3" s="4">
        <v>1</v>
      </c>
      <c r="J3" s="5"/>
      <c r="K3" s="2"/>
      <c r="L3" s="3"/>
    </row>
    <row r="4" spans="1:24" ht="45.6" x14ac:dyDescent="0.25">
      <c r="A4" s="6" t="s">
        <v>26</v>
      </c>
      <c r="B4" s="7" t="s">
        <v>27</v>
      </c>
      <c r="C4" s="22">
        <v>8</v>
      </c>
      <c r="D4" s="7" t="s">
        <v>29</v>
      </c>
      <c r="E4" s="8">
        <v>10</v>
      </c>
      <c r="F4" s="7" t="s">
        <v>34</v>
      </c>
      <c r="G4" s="8">
        <v>7</v>
      </c>
      <c r="H4" s="7" t="s">
        <v>35</v>
      </c>
      <c r="I4" s="8">
        <v>10</v>
      </c>
      <c r="J4" s="9">
        <f>$C$3*C4+$E$3*E4+$G$3*G4+$I$3*I4</f>
        <v>60</v>
      </c>
      <c r="K4" s="10">
        <f>IF(J4="","",RANK(J4,$J$4:$J$8))</f>
        <v>1</v>
      </c>
      <c r="L4" s="28" t="s">
        <v>30</v>
      </c>
    </row>
    <row r="5" spans="1:24" ht="68.400000000000006" x14ac:dyDescent="0.25">
      <c r="A5" s="6" t="s">
        <v>46</v>
      </c>
      <c r="B5" s="7" t="s">
        <v>37</v>
      </c>
      <c r="C5" s="8">
        <v>10</v>
      </c>
      <c r="D5" s="7" t="s">
        <v>48</v>
      </c>
      <c r="E5" s="8">
        <v>3</v>
      </c>
      <c r="F5" s="7" t="s">
        <v>51</v>
      </c>
      <c r="G5" s="8">
        <v>10</v>
      </c>
      <c r="H5" s="7" t="s">
        <v>45</v>
      </c>
      <c r="I5" s="8">
        <v>10</v>
      </c>
      <c r="J5" s="9">
        <f>$C$3*C5+$E$3*E5+$G$3*G5+$I$3*I5</f>
        <v>56</v>
      </c>
      <c r="K5" s="10">
        <f>IF(J5="","",RANK(J5,$J$4:$J$8))</f>
        <v>2</v>
      </c>
      <c r="L5" s="29" t="s">
        <v>108</v>
      </c>
    </row>
    <row r="6" spans="1:24" ht="57" x14ac:dyDescent="0.25">
      <c r="A6" s="6" t="s">
        <v>36</v>
      </c>
      <c r="B6" s="7" t="s">
        <v>37</v>
      </c>
      <c r="C6" s="8">
        <v>10</v>
      </c>
      <c r="D6" s="7" t="s">
        <v>39</v>
      </c>
      <c r="E6" s="8">
        <v>3</v>
      </c>
      <c r="F6" s="7" t="s">
        <v>44</v>
      </c>
      <c r="G6" s="8">
        <v>10</v>
      </c>
      <c r="H6" s="23" t="s">
        <v>45</v>
      </c>
      <c r="I6" s="8">
        <v>10</v>
      </c>
      <c r="J6" s="9">
        <f>$C$3*C6+$E$3*E6+$G$3*G6+$I$3*I6</f>
        <v>56</v>
      </c>
      <c r="K6" s="10">
        <f>IF(J6="","",RANK(J6,$J$4:$J$8))</f>
        <v>2</v>
      </c>
      <c r="L6" s="30" t="s">
        <v>108</v>
      </c>
    </row>
    <row r="7" spans="1:24" ht="57" x14ac:dyDescent="0.25">
      <c r="A7" s="6" t="s">
        <v>15</v>
      </c>
      <c r="B7" s="7" t="s">
        <v>16</v>
      </c>
      <c r="C7" s="22">
        <v>6</v>
      </c>
      <c r="D7" s="7" t="s">
        <v>18</v>
      </c>
      <c r="E7" s="8">
        <v>10</v>
      </c>
      <c r="F7" s="7" t="s">
        <v>24</v>
      </c>
      <c r="G7" s="8">
        <v>7</v>
      </c>
      <c r="H7" s="7" t="s">
        <v>25</v>
      </c>
      <c r="I7" s="8">
        <v>5</v>
      </c>
      <c r="J7" s="9">
        <f>$C$3*C7+$E$3*E7+$G$3*G7+$I$3*I7</f>
        <v>51</v>
      </c>
      <c r="K7" s="10">
        <f>IF(J7="","",RANK(J7,$J$4:$J$8))</f>
        <v>4</v>
      </c>
      <c r="L7" s="31" t="s">
        <v>107</v>
      </c>
    </row>
    <row r="8" spans="1:24" ht="68.400000000000006" x14ac:dyDescent="0.25">
      <c r="A8" s="6" t="s">
        <v>86</v>
      </c>
      <c r="B8" s="7" t="s">
        <v>87</v>
      </c>
      <c r="C8" s="8">
        <v>5</v>
      </c>
      <c r="D8" s="7" t="s">
        <v>89</v>
      </c>
      <c r="E8" s="8">
        <v>5</v>
      </c>
      <c r="F8" s="7" t="s">
        <v>94</v>
      </c>
      <c r="G8" s="8">
        <v>8</v>
      </c>
      <c r="H8" s="7" t="s">
        <v>95</v>
      </c>
      <c r="I8" s="8">
        <v>10</v>
      </c>
      <c r="J8" s="9">
        <f>$C$3*C8+$E$3*E8+$G$3*G8+$I$3*I8</f>
        <v>46</v>
      </c>
      <c r="K8" s="10">
        <f>IF(J8="","",RANK(J8,$J$4:$J$8))</f>
        <v>5</v>
      </c>
      <c r="L8" s="32" t="s">
        <v>90</v>
      </c>
    </row>
    <row r="9" spans="1:24" ht="15.75" customHeight="1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</sheetData>
  <autoFilter ref="A1:L8" xr:uid="{4FBABEA0-6F4E-41F6-A333-596FD12B9153}">
    <filterColumn colId="1" showButton="0"/>
    <filterColumn colId="3" showButton="0"/>
    <filterColumn colId="5" showButton="0"/>
    <filterColumn colId="7" showButton="0"/>
    <sortState xmlns:xlrd2="http://schemas.microsoft.com/office/spreadsheetml/2017/richdata2" ref="A4:L8">
      <sortCondition descending="1" ref="J1:J8"/>
    </sortState>
  </autoFilter>
  <mergeCells count="8">
    <mergeCell ref="F1:G1"/>
    <mergeCell ref="H1:I1"/>
    <mergeCell ref="J1:J2"/>
    <mergeCell ref="K1:K2"/>
    <mergeCell ref="L1:L2"/>
    <mergeCell ref="A1:A2"/>
    <mergeCell ref="B1:C1"/>
    <mergeCell ref="D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14"/>
  <sheetViews>
    <sheetView tabSelected="1" workbookViewId="0">
      <selection sqref="A1:A2"/>
    </sheetView>
  </sheetViews>
  <sheetFormatPr defaultColWidth="12.6640625" defaultRowHeight="15.75" customHeight="1" x14ac:dyDescent="0.25"/>
  <sheetData>
    <row r="1" spans="1:24" ht="15.75" customHeight="1" x14ac:dyDescent="0.25">
      <c r="A1" s="19" t="s">
        <v>0</v>
      </c>
      <c r="B1" s="15" t="s">
        <v>1</v>
      </c>
      <c r="C1" s="16"/>
      <c r="D1" s="15" t="s">
        <v>2</v>
      </c>
      <c r="E1" s="16"/>
      <c r="F1" s="15" t="s">
        <v>3</v>
      </c>
      <c r="G1" s="16"/>
      <c r="H1" s="15" t="s">
        <v>4</v>
      </c>
      <c r="I1" s="15"/>
      <c r="J1" s="15" t="s">
        <v>5</v>
      </c>
      <c r="K1" s="15"/>
      <c r="L1" s="15" t="s">
        <v>6</v>
      </c>
      <c r="M1" s="15"/>
      <c r="N1" s="15" t="s">
        <v>7</v>
      </c>
      <c r="O1" s="15"/>
      <c r="P1" s="15" t="s">
        <v>8</v>
      </c>
      <c r="Q1" s="15"/>
      <c r="R1" s="15" t="s">
        <v>9</v>
      </c>
      <c r="S1" s="15"/>
      <c r="T1" s="17" t="s">
        <v>10</v>
      </c>
      <c r="U1" s="17" t="s">
        <v>11</v>
      </c>
      <c r="V1" s="20" t="s">
        <v>106</v>
      </c>
    </row>
    <row r="2" spans="1:24" ht="15.75" customHeight="1" x14ac:dyDescent="0.25">
      <c r="A2" s="18"/>
      <c r="B2" s="1" t="s">
        <v>12</v>
      </c>
      <c r="C2" s="1" t="s">
        <v>13</v>
      </c>
      <c r="D2" s="1" t="s">
        <v>12</v>
      </c>
      <c r="E2" s="1" t="s">
        <v>13</v>
      </c>
      <c r="F2" s="1" t="s">
        <v>12</v>
      </c>
      <c r="G2" s="1" t="s">
        <v>13</v>
      </c>
      <c r="H2" s="1" t="s">
        <v>12</v>
      </c>
      <c r="I2" s="1" t="s">
        <v>13</v>
      </c>
      <c r="J2" s="1" t="s">
        <v>12</v>
      </c>
      <c r="K2" s="1" t="s">
        <v>13</v>
      </c>
      <c r="L2" s="1" t="s">
        <v>12</v>
      </c>
      <c r="M2" s="1" t="s">
        <v>13</v>
      </c>
      <c r="N2" s="1" t="s">
        <v>12</v>
      </c>
      <c r="O2" s="1" t="s">
        <v>13</v>
      </c>
      <c r="P2" s="1" t="s">
        <v>12</v>
      </c>
      <c r="Q2" s="1" t="s">
        <v>13</v>
      </c>
      <c r="R2" s="1" t="s">
        <v>12</v>
      </c>
      <c r="S2" s="1" t="s">
        <v>13</v>
      </c>
      <c r="T2" s="17"/>
      <c r="U2" s="18"/>
      <c r="V2" s="1" t="s">
        <v>12</v>
      </c>
    </row>
    <row r="3" spans="1:24" ht="14.4" x14ac:dyDescent="0.3">
      <c r="A3" s="2"/>
      <c r="B3" s="3"/>
      <c r="C3" s="4">
        <v>3</v>
      </c>
      <c r="D3" s="3"/>
      <c r="E3" s="4">
        <v>1</v>
      </c>
      <c r="F3" s="3"/>
      <c r="G3" s="4">
        <v>3</v>
      </c>
      <c r="H3" s="3"/>
      <c r="I3" s="4">
        <v>2</v>
      </c>
      <c r="J3" s="3"/>
      <c r="K3" s="4">
        <v>2</v>
      </c>
      <c r="L3" s="3"/>
      <c r="M3" s="4">
        <v>2</v>
      </c>
      <c r="N3" s="3"/>
      <c r="O3" s="4">
        <v>1</v>
      </c>
      <c r="P3" s="3"/>
      <c r="Q3" s="4">
        <v>3</v>
      </c>
      <c r="R3" s="3"/>
      <c r="S3" s="4">
        <v>2</v>
      </c>
      <c r="T3" s="5" t="s">
        <v>14</v>
      </c>
      <c r="U3" s="2"/>
      <c r="V3" s="3"/>
    </row>
    <row r="4" spans="1:24" ht="79.8" x14ac:dyDescent="0.25">
      <c r="A4" s="6" t="s">
        <v>77</v>
      </c>
      <c r="B4" s="7" t="s">
        <v>78</v>
      </c>
      <c r="C4" s="21">
        <v>6</v>
      </c>
      <c r="D4" s="7" t="s">
        <v>79</v>
      </c>
      <c r="E4" s="8">
        <v>8</v>
      </c>
      <c r="F4" s="7" t="s">
        <v>80</v>
      </c>
      <c r="G4" s="8">
        <v>4</v>
      </c>
      <c r="H4" s="7" t="s">
        <v>81</v>
      </c>
      <c r="I4" s="8">
        <v>10</v>
      </c>
      <c r="J4" s="7" t="s">
        <v>58</v>
      </c>
      <c r="K4" s="8">
        <v>10</v>
      </c>
      <c r="L4" s="7" t="s">
        <v>82</v>
      </c>
      <c r="M4" s="8">
        <v>10</v>
      </c>
      <c r="N4" s="7" t="s">
        <v>83</v>
      </c>
      <c r="O4" s="8">
        <v>10</v>
      </c>
      <c r="P4" s="7" t="s">
        <v>84</v>
      </c>
      <c r="Q4" s="8">
        <v>10</v>
      </c>
      <c r="R4" s="7" t="s">
        <v>85</v>
      </c>
      <c r="S4" s="8">
        <v>10</v>
      </c>
      <c r="T4" s="9">
        <f>$C$3*C4+$E$3*E4+$G$3*G4+$I$3*I4+$K$3*K4+$M$3*M4+$O$3*O4+$Q$3*Q4+$S$3*S4</f>
        <v>158</v>
      </c>
      <c r="U4" s="10">
        <f>IF(T4="","",RANK(T4,$T$4:$T$13))</f>
        <v>1</v>
      </c>
      <c r="V4" s="14"/>
    </row>
    <row r="5" spans="1:24" ht="57" x14ac:dyDescent="0.25">
      <c r="A5" s="6" t="s">
        <v>52</v>
      </c>
      <c r="B5" s="7" t="s">
        <v>53</v>
      </c>
      <c r="C5" s="21">
        <v>6</v>
      </c>
      <c r="D5" s="23" t="s">
        <v>54</v>
      </c>
      <c r="E5" s="8">
        <v>4</v>
      </c>
      <c r="F5" s="7" t="s">
        <v>55</v>
      </c>
      <c r="G5" s="8">
        <v>5</v>
      </c>
      <c r="H5" s="7" t="s">
        <v>57</v>
      </c>
      <c r="I5" s="8">
        <v>9</v>
      </c>
      <c r="J5" s="7" t="s">
        <v>58</v>
      </c>
      <c r="K5" s="8">
        <v>10</v>
      </c>
      <c r="L5" s="7" t="s">
        <v>49</v>
      </c>
      <c r="M5" s="8">
        <v>10</v>
      </c>
      <c r="N5" s="7" t="s">
        <v>50</v>
      </c>
      <c r="O5" s="8">
        <v>10</v>
      </c>
      <c r="P5" s="7" t="s">
        <v>59</v>
      </c>
      <c r="Q5" s="8">
        <v>9</v>
      </c>
      <c r="R5" s="7" t="s">
        <v>60</v>
      </c>
      <c r="S5" s="8">
        <v>9</v>
      </c>
      <c r="T5" s="9">
        <f>$C$3*C5+$E$3*E5+$G$3*G5+$I$3*I5+$K$3*K5+$M$3*M5+$O$3*O5+$Q$3*Q5+$S$3*S5</f>
        <v>150</v>
      </c>
      <c r="U5" s="10">
        <f>IF(T5="","",RANK(T5,$T$4:$T$13))</f>
        <v>5</v>
      </c>
      <c r="V5" s="11" t="s">
        <v>56</v>
      </c>
    </row>
    <row r="6" spans="1:24" ht="68.400000000000006" x14ac:dyDescent="0.25">
      <c r="A6" s="6" t="s">
        <v>69</v>
      </c>
      <c r="B6" s="7" t="s">
        <v>70</v>
      </c>
      <c r="C6" s="8">
        <v>10</v>
      </c>
      <c r="D6" s="7" t="s">
        <v>71</v>
      </c>
      <c r="E6" s="8">
        <v>4</v>
      </c>
      <c r="F6" s="7" t="s">
        <v>72</v>
      </c>
      <c r="G6" s="8">
        <v>8</v>
      </c>
      <c r="H6" s="7" t="s">
        <v>74</v>
      </c>
      <c r="I6" s="8">
        <v>10</v>
      </c>
      <c r="J6" s="7" t="s">
        <v>21</v>
      </c>
      <c r="K6" s="8">
        <v>3</v>
      </c>
      <c r="L6" s="7" t="s">
        <v>42</v>
      </c>
      <c r="M6" s="8">
        <v>8</v>
      </c>
      <c r="N6" s="7" t="s">
        <v>43</v>
      </c>
      <c r="O6" s="8">
        <v>10</v>
      </c>
      <c r="P6" s="7" t="s">
        <v>75</v>
      </c>
      <c r="Q6" s="8">
        <v>8</v>
      </c>
      <c r="R6" s="7" t="s">
        <v>76</v>
      </c>
      <c r="S6" s="8">
        <v>10</v>
      </c>
      <c r="T6" s="9">
        <f>$C$3*C6+$E$3*E6+$G$3*G6+$I$3*I6+$K$3*K6+$M$3*M6+$O$3*O6+$Q$3*Q6+$S$3*S6</f>
        <v>154</v>
      </c>
      <c r="U6" s="10">
        <f>IF(T6="","",RANK(T6,$T$4:$T$13))</f>
        <v>2</v>
      </c>
      <c r="V6" s="12" t="s">
        <v>73</v>
      </c>
    </row>
    <row r="7" spans="1:24" ht="57" x14ac:dyDescent="0.25">
      <c r="A7" s="6" t="s">
        <v>26</v>
      </c>
      <c r="B7" s="7" t="s">
        <v>27</v>
      </c>
      <c r="C7" s="22">
        <v>9</v>
      </c>
      <c r="D7" s="24" t="s">
        <v>28</v>
      </c>
      <c r="E7" s="8">
        <v>9</v>
      </c>
      <c r="F7" s="7" t="s">
        <v>29</v>
      </c>
      <c r="G7" s="8">
        <v>10</v>
      </c>
      <c r="H7" s="7" t="s">
        <v>31</v>
      </c>
      <c r="I7" s="8">
        <v>9</v>
      </c>
      <c r="J7" s="7" t="s">
        <v>21</v>
      </c>
      <c r="K7" s="8">
        <v>3</v>
      </c>
      <c r="L7" s="7" t="s">
        <v>32</v>
      </c>
      <c r="M7" s="8">
        <v>6</v>
      </c>
      <c r="N7" s="7" t="s">
        <v>33</v>
      </c>
      <c r="O7" s="8">
        <v>8</v>
      </c>
      <c r="P7" s="7" t="s">
        <v>34</v>
      </c>
      <c r="Q7" s="8">
        <v>7</v>
      </c>
      <c r="R7" s="7" t="s">
        <v>35</v>
      </c>
      <c r="S7" s="8">
        <v>10</v>
      </c>
      <c r="T7" s="9">
        <f>$C$3*C7+$E$3*E7+$G$3*G7+$I$3*I7+$K$3*K7+$M$3*M7+$O$3*O7+$Q$3*Q7+$S$3*S7</f>
        <v>151</v>
      </c>
      <c r="U7" s="10">
        <f>IF(T7="","",RANK(T7,$T$4:$T$13))</f>
        <v>4</v>
      </c>
      <c r="V7" s="11" t="s">
        <v>30</v>
      </c>
    </row>
    <row r="8" spans="1:24" ht="68.400000000000006" x14ac:dyDescent="0.25">
      <c r="A8" s="6" t="s">
        <v>46</v>
      </c>
      <c r="B8" s="7" t="s">
        <v>37</v>
      </c>
      <c r="C8" s="8">
        <v>10</v>
      </c>
      <c r="D8" s="7" t="s">
        <v>47</v>
      </c>
      <c r="E8" s="8">
        <v>4</v>
      </c>
      <c r="F8" s="7" t="s">
        <v>48</v>
      </c>
      <c r="G8" s="8">
        <v>6</v>
      </c>
      <c r="H8" s="7" t="s">
        <v>41</v>
      </c>
      <c r="I8" s="8">
        <v>7</v>
      </c>
      <c r="J8" s="7" t="s">
        <v>21</v>
      </c>
      <c r="K8" s="8">
        <v>3</v>
      </c>
      <c r="L8" s="7" t="s">
        <v>49</v>
      </c>
      <c r="M8" s="8">
        <v>10</v>
      </c>
      <c r="N8" s="7" t="s">
        <v>50</v>
      </c>
      <c r="O8" s="8">
        <v>10</v>
      </c>
      <c r="P8" s="7" t="s">
        <v>51</v>
      </c>
      <c r="Q8" s="8">
        <v>10</v>
      </c>
      <c r="R8" s="7" t="s">
        <v>45</v>
      </c>
      <c r="S8" s="8">
        <v>10</v>
      </c>
      <c r="T8" s="9">
        <f>$C$3*C8+$E$3*E8+$G$3*G8+$I$3*I8+$K$3*K8+$M$3*M8+$O$3*O8+$Q$3*Q8+$S$3*S8</f>
        <v>152</v>
      </c>
      <c r="U8" s="10">
        <f>IF(T8="","",RANK(T8,$T$4:$T$13))</f>
        <v>3</v>
      </c>
      <c r="V8" s="12" t="s">
        <v>40</v>
      </c>
    </row>
    <row r="9" spans="1:24" ht="57" x14ac:dyDescent="0.25">
      <c r="A9" s="6" t="s">
        <v>36</v>
      </c>
      <c r="B9" s="7" t="s">
        <v>37</v>
      </c>
      <c r="C9" s="8">
        <v>10</v>
      </c>
      <c r="D9" s="7" t="s">
        <v>38</v>
      </c>
      <c r="E9" s="8">
        <v>4</v>
      </c>
      <c r="F9" s="7" t="s">
        <v>39</v>
      </c>
      <c r="G9" s="8">
        <v>6</v>
      </c>
      <c r="H9" s="7" t="s">
        <v>41</v>
      </c>
      <c r="I9" s="8">
        <v>7</v>
      </c>
      <c r="J9" s="7" t="s">
        <v>21</v>
      </c>
      <c r="K9" s="8">
        <v>3</v>
      </c>
      <c r="L9" s="7" t="s">
        <v>42</v>
      </c>
      <c r="M9" s="8">
        <v>8</v>
      </c>
      <c r="N9" s="7" t="s">
        <v>43</v>
      </c>
      <c r="O9" s="8">
        <v>10</v>
      </c>
      <c r="P9" s="7" t="s">
        <v>44</v>
      </c>
      <c r="Q9" s="8">
        <v>10</v>
      </c>
      <c r="R9" s="23" t="s">
        <v>45</v>
      </c>
      <c r="S9" s="8">
        <v>10</v>
      </c>
      <c r="T9" s="9">
        <f>$C$3*C9+$E$3*E9+$G$3*G9+$I$3*I9+$K$3*K9+$M$3*M9+$O$3*O9+$Q$3*Q9+$S$3*S9</f>
        <v>148</v>
      </c>
      <c r="U9" s="10">
        <f>IF(T9="","",RANK(T9,$T$4:$T$13))</f>
        <v>6</v>
      </c>
      <c r="V9" s="26" t="s">
        <v>40</v>
      </c>
    </row>
    <row r="10" spans="1:24" ht="68.400000000000006" x14ac:dyDescent="0.3">
      <c r="A10" s="6" t="s">
        <v>86</v>
      </c>
      <c r="B10" s="7" t="s">
        <v>87</v>
      </c>
      <c r="C10" s="8">
        <v>7</v>
      </c>
      <c r="D10" s="7" t="s">
        <v>88</v>
      </c>
      <c r="E10" s="8">
        <v>10</v>
      </c>
      <c r="F10" s="7" t="s">
        <v>89</v>
      </c>
      <c r="G10" s="8">
        <v>7</v>
      </c>
      <c r="H10" s="7" t="s">
        <v>91</v>
      </c>
      <c r="I10" s="8">
        <v>7</v>
      </c>
      <c r="J10" s="7" t="s">
        <v>21</v>
      </c>
      <c r="K10" s="8">
        <v>3</v>
      </c>
      <c r="L10" s="7" t="s">
        <v>92</v>
      </c>
      <c r="M10" s="8">
        <v>7</v>
      </c>
      <c r="N10" s="7" t="s">
        <v>93</v>
      </c>
      <c r="O10" s="8">
        <v>9</v>
      </c>
      <c r="P10" s="7" t="s">
        <v>94</v>
      </c>
      <c r="Q10" s="8">
        <v>8</v>
      </c>
      <c r="R10" s="7" t="s">
        <v>95</v>
      </c>
      <c r="S10" s="8">
        <v>10</v>
      </c>
      <c r="T10" s="9">
        <f>$C$3*C10+$E$3*E10+$G$3*G10+$I$3*I10+$K$3*K10+$M$3*M10+$O$3*O10+$Q$3*Q10+$S$3*S10</f>
        <v>139</v>
      </c>
      <c r="U10" s="10">
        <f>IF(T10="","",RANK(T10,$T$4:$T$13))</f>
        <v>7</v>
      </c>
      <c r="V10" s="2" t="s">
        <v>90</v>
      </c>
    </row>
    <row r="11" spans="1:24" ht="57" x14ac:dyDescent="0.25">
      <c r="A11" s="6" t="s">
        <v>15</v>
      </c>
      <c r="B11" s="7" t="s">
        <v>16</v>
      </c>
      <c r="C11" s="22">
        <v>8</v>
      </c>
      <c r="D11" s="7" t="s">
        <v>17</v>
      </c>
      <c r="E11" s="8">
        <v>10</v>
      </c>
      <c r="F11" s="7" t="s">
        <v>18</v>
      </c>
      <c r="G11" s="8">
        <v>10</v>
      </c>
      <c r="H11" s="7" t="s">
        <v>20</v>
      </c>
      <c r="I11" s="8">
        <v>8</v>
      </c>
      <c r="J11" s="7" t="s">
        <v>21</v>
      </c>
      <c r="K11" s="8">
        <v>3</v>
      </c>
      <c r="L11" s="7" t="s">
        <v>22</v>
      </c>
      <c r="M11" s="8">
        <v>6</v>
      </c>
      <c r="N11" s="7" t="s">
        <v>23</v>
      </c>
      <c r="O11" s="8">
        <v>8</v>
      </c>
      <c r="P11" s="7" t="s">
        <v>24</v>
      </c>
      <c r="Q11" s="8">
        <v>7</v>
      </c>
      <c r="R11" s="7" t="s">
        <v>25</v>
      </c>
      <c r="S11" s="8">
        <v>5</v>
      </c>
      <c r="T11" s="9">
        <f>$C$3*C11+$E$3*E11+$G$3*G11+$I$3*I11+$K$3*K11+$M$3*M11+$O$3*O11+$Q$3*Q11+$S$3*S11</f>
        <v>137</v>
      </c>
      <c r="U11" s="10">
        <f>IF(T11="","",RANK(T11,$T$4:$T$13))</f>
        <v>8</v>
      </c>
      <c r="V11" s="7" t="s">
        <v>19</v>
      </c>
    </row>
    <row r="12" spans="1:24" ht="68.400000000000006" x14ac:dyDescent="0.25">
      <c r="A12" s="6" t="s">
        <v>61</v>
      </c>
      <c r="B12" s="7" t="s">
        <v>62</v>
      </c>
      <c r="C12" s="8">
        <v>7</v>
      </c>
      <c r="D12" s="7" t="s">
        <v>63</v>
      </c>
      <c r="E12" s="8">
        <v>6</v>
      </c>
      <c r="F12" s="13">
        <v>48</v>
      </c>
      <c r="G12" s="8">
        <v>9</v>
      </c>
      <c r="H12" s="7" t="s">
        <v>64</v>
      </c>
      <c r="I12" s="8">
        <v>7</v>
      </c>
      <c r="J12" s="7" t="s">
        <v>21</v>
      </c>
      <c r="K12" s="8">
        <v>3</v>
      </c>
      <c r="L12" s="7" t="s">
        <v>65</v>
      </c>
      <c r="M12" s="8">
        <v>8</v>
      </c>
      <c r="N12" s="7" t="s">
        <v>66</v>
      </c>
      <c r="O12" s="8">
        <v>9</v>
      </c>
      <c r="P12" s="7" t="s">
        <v>67</v>
      </c>
      <c r="Q12" s="8">
        <v>9</v>
      </c>
      <c r="R12" s="24" t="s">
        <v>68</v>
      </c>
      <c r="S12" s="8">
        <v>5</v>
      </c>
      <c r="T12" s="9">
        <f>$C$3*C12+$E$3*E12+$G$3*G12+$I$3*I12+$K$3*K12+$M$3*M12+$O$3*O12+$Q$3*Q12+$S$3*S12</f>
        <v>136</v>
      </c>
      <c r="U12" s="10">
        <f>IF(T12="","",RANK(T12,$T$4:$T$13))</f>
        <v>9</v>
      </c>
      <c r="V12" s="25"/>
    </row>
    <row r="13" spans="1:24" ht="68.400000000000006" x14ac:dyDescent="0.3">
      <c r="A13" s="6" t="s">
        <v>96</v>
      </c>
      <c r="B13" s="7" t="s">
        <v>97</v>
      </c>
      <c r="C13" s="8">
        <v>7</v>
      </c>
      <c r="D13" s="7" t="s">
        <v>98</v>
      </c>
      <c r="E13" s="8">
        <v>6</v>
      </c>
      <c r="F13" s="7" t="s">
        <v>99</v>
      </c>
      <c r="G13" s="8">
        <v>9</v>
      </c>
      <c r="H13" s="7" t="s">
        <v>101</v>
      </c>
      <c r="I13" s="8">
        <v>7</v>
      </c>
      <c r="J13" s="7" t="s">
        <v>21</v>
      </c>
      <c r="K13" s="8">
        <v>3</v>
      </c>
      <c r="L13" s="7" t="s">
        <v>102</v>
      </c>
      <c r="M13" s="8">
        <v>6</v>
      </c>
      <c r="N13" s="7" t="s">
        <v>103</v>
      </c>
      <c r="O13" s="8">
        <v>8</v>
      </c>
      <c r="P13" s="7" t="s">
        <v>104</v>
      </c>
      <c r="Q13" s="8">
        <v>7</v>
      </c>
      <c r="R13" s="11" t="s">
        <v>105</v>
      </c>
      <c r="S13" s="8">
        <v>10</v>
      </c>
      <c r="T13" s="9">
        <f>$C$3*C13+$E$3*E13+$G$3*G13+$I$3*I13+$K$3*K13+$M$3*M13+$O$3*O13+$Q$3*Q13+$S$3*S13</f>
        <v>135</v>
      </c>
      <c r="U13" s="10">
        <f>IF(T13="","",RANK(T13,$T$4:$T$13))</f>
        <v>10</v>
      </c>
      <c r="V13" s="2" t="s">
        <v>100</v>
      </c>
    </row>
    <row r="14" spans="1:24" ht="15.75" customHeight="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</sheetData>
  <autoFilter ref="A1:V13" xr:uid="{00000000-0001-0000-0000-000000000000}">
    <filterColumn colId="1" showButton="0"/>
    <filterColumn colId="3" showButton="0"/>
    <filterColumn colId="5" showButton="0"/>
    <filterColumn colId="7" showButton="0"/>
    <filterColumn colId="9" showButton="0"/>
    <filterColumn colId="11" showButton="0"/>
    <filterColumn colId="13" showButton="0"/>
    <filterColumn colId="15" showButton="0"/>
    <filterColumn colId="17" showButton="0"/>
    <sortState xmlns:xlrd2="http://schemas.microsoft.com/office/spreadsheetml/2017/richdata2" ref="A4:V13">
      <sortCondition descending="1" ref="T1:T13"/>
    </sortState>
  </autoFilter>
  <mergeCells count="12">
    <mergeCell ref="U1:U2"/>
    <mergeCell ref="A1:A2"/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T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New</vt:lpstr>
      <vt:lpstr>Original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jmbj franco</cp:lastModifiedBy>
  <dcterms:modified xsi:type="dcterms:W3CDTF">2026-08-20T01:07:40Z</dcterms:modified>
</cp:coreProperties>
</file>